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  <sheet name="Test Case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<sst xmlns="http://schemas.openxmlformats.org/spreadsheetml/2006/main" count="188" uniqueCount="151">
  <si>
    <t xml:space="preserve">REQUIREMENTS TRACEABILITY MATRIX</t>
  </si>
  <si>
    <t xml:space="preserve">EV Charging Station Reservation System</t>
  </si>
  <si>
    <t xml:space="preserve">Name: Shriya S R | SRN: PES1UG24CS449 | Section: 5 H | Problem Statement #21</t>
  </si>
  <si>
    <t xml:space="preserve">Requirement ID</t>
  </si>
  <si>
    <t xml:space="preserve">Requirement Description</t>
  </si>
  <si>
    <t xml:space="preserve">Type</t>
  </si>
  <si>
    <t xml:space="preserve">Priority</t>
  </si>
  <si>
    <t xml:space="preserve">Use Case</t>
  </si>
  <si>
    <t xml:space="preserve">Jira Story (Scrum / Kanban)</t>
  </si>
  <si>
    <t xml:space="preserve">Jira Tasks (Scrum / Kanban)</t>
  </si>
  <si>
    <t xml:space="preserve">Design / Module</t>
  </si>
  <si>
    <t xml:space="preserve">Test Case ID</t>
  </si>
  <si>
    <t xml:space="preserve">Defect ID</t>
  </si>
  <si>
    <t xml:space="preserve">Status</t>
  </si>
  <si>
    <t xml:space="preserve">FR-001</t>
  </si>
  <si>
    <t xml:space="preserve">The system shall match the driver's vehicle connector type (CCS, CHAdeMO, Type 2) with available station chargers and reserve a 30-minute charging window.</t>
  </si>
  <si>
    <t xml:space="preserve">Functional</t>
  </si>
  <si>
    <t xml:space="preserve">High</t>
  </si>
  <si>
    <t xml:space="preserve">UC-02: Reserve Charging Slot</t>
  </si>
  <si>
    <t xml:space="preserve">SBP-1 / KP-14</t>
  </si>
  <si>
    <t xml:space="preserve">SBP-17, SBP-18 / KP-21, KP-22</t>
  </si>
  <si>
    <t xml:space="preserve">Slot Reservation Module</t>
  </si>
  <si>
    <t xml:space="preserve">TC-001, TC-002, TC-003</t>
  </si>
  <si>
    <t xml:space="preserve">BP-1, BP-2, BP-6</t>
  </si>
  <si>
    <t xml:space="preserve">Defect Found</t>
  </si>
  <si>
    <t xml:space="preserve">FR-002</t>
  </si>
  <si>
    <t xml:space="preserve">The system shall allow an EV driver to search for nearby charging stations filtered by connector type, distance, and real-time socket availability.</t>
  </si>
  <si>
    <t xml:space="preserve">UC-01: Search Charging Stations</t>
  </si>
  <si>
    <t xml:space="preserve">SBP-2 / KP-15</t>
  </si>
  <si>
    <t xml:space="preserve">SBP-19, SBP-20 / KP-23, KP-24</t>
  </si>
  <si>
    <t xml:space="preserve">Station Search Module</t>
  </si>
  <si>
    <t xml:space="preserve">TC-004, TC-005</t>
  </si>
  <si>
    <t xml:space="preserve">BP-1</t>
  </si>
  <si>
    <t xml:space="preserve">FR-003</t>
  </si>
  <si>
    <t xml:space="preserve">The system shall calculate and display a dynamic power rate (price per kWh) for a charging slot based on real-time demand and time of day before the driver confirms the reservation.</t>
  </si>
  <si>
    <t xml:space="preserve">Medium</t>
  </si>
  <si>
    <t xml:space="preserve">UC-02: Reserve Charging Slot (includes Calculate Dynamic Power Rate)</t>
  </si>
  <si>
    <t xml:space="preserve">SBP-3 / KP-16</t>
  </si>
  <si>
    <t xml:space="preserve">SBP-21, SBP-22 / KP-25, KP-26</t>
  </si>
  <si>
    <t xml:space="preserve">Dynamic Pricing Module</t>
  </si>
  <si>
    <t xml:space="preserve">TC-006</t>
  </si>
  <si>
    <t xml:space="preserve">BP-3</t>
  </si>
  <si>
    <t xml:space="preserve">FR-004</t>
  </si>
  <si>
    <t xml:space="preserve">The system shall allow an EV driver to cancel a confirmed reservation up to 5 minutes before the slot start time without incurring a penalty.</t>
  </si>
  <si>
    <t xml:space="preserve">UC-06: Cancel Reservation (proposed, to be added to UML)</t>
  </si>
  <si>
    <t xml:space="preserve">SBP-4 / KP-17</t>
  </si>
  <si>
    <t xml:space="preserve">SBP-23, SBP-24 / KP-27, KP-28</t>
  </si>
  <si>
    <t xml:space="preserve">Reservation Cancellation Module</t>
  </si>
  <si>
    <t xml:space="preserve">TC-007, TC-008</t>
  </si>
  <si>
    <t xml:space="preserve">BP-4</t>
  </si>
  <si>
    <t xml:space="preserve">FR-005</t>
  </si>
  <si>
    <t xml:space="preserve">The system shall allow a Station Operator to update a charger's status (Available, In Use, Faulty, Under Maintenance) in real time, immediately removing it from driver search and reservation results when unavailable.</t>
  </si>
  <si>
    <t xml:space="preserve">UC-03: Manage Socket Availability</t>
  </si>
  <si>
    <t xml:space="preserve">SBP-5 / KP-18</t>
  </si>
  <si>
    <t xml:space="preserve">SBP-25, SBP-26 / KP-29, KP-30</t>
  </si>
  <si>
    <t xml:space="preserve">Charger Status Management Module</t>
  </si>
  <si>
    <t xml:space="preserve">TC-009, TC-010</t>
  </si>
  <si>
    <t xml:space="preserve">BP-5</t>
  </si>
  <si>
    <t xml:space="preserve">NFR-001</t>
  </si>
  <si>
    <t xml:space="preserve">The system shall automatically release a locked socket and apply a no-show penalty if the driver fails to plug in within 10 minutes of the reserved slot start time.</t>
  </si>
  <si>
    <t xml:space="preserve">Non-Functional</t>
  </si>
  <si>
    <t xml:space="preserve">UC-05: Handle Charging No-Show (extends UC-02)</t>
  </si>
  <si>
    <t xml:space="preserve">SBP-6 / KP-19</t>
  </si>
  <si>
    <t xml:space="preserve">SBP-27, SBP-28 / KP-31, KP-32</t>
  </si>
  <si>
    <t xml:space="preserve">No-Show Handling Module</t>
  </si>
  <si>
    <t xml:space="preserve">TC-011, TC-012</t>
  </si>
  <si>
    <t xml:space="preserve">BP-7</t>
  </si>
  <si>
    <t xml:space="preserve">NFR-002</t>
  </si>
  <si>
    <t xml:space="preserve">The system shall support at least 500 concurrent reservation requests with a 95th-percentile API response time under 2 seconds.</t>
  </si>
  <si>
    <t xml:space="preserve">UC-02 and UC-04 (system-wide)</t>
  </si>
  <si>
    <t xml:space="preserve">SBP-16 / KP-20</t>
  </si>
  <si>
    <t xml:space="preserve">SBP-29, SBP-30 / KP-33, KP-34</t>
  </si>
  <si>
    <t xml:space="preserve">Performance and Scalability (cross-cutting)</t>
  </si>
  <si>
    <t xml:space="preserve">TC-013</t>
  </si>
  <si>
    <t xml:space="preserve">None</t>
  </si>
  <si>
    <t xml:space="preserve">Not Yet Tested</t>
  </si>
  <si>
    <t xml:space="preserve">REQUIREMENT VERIFICATION TEST CASES</t>
  </si>
  <si>
    <t xml:space="preserve">Test Case</t>
  </si>
  <si>
    <t xml:space="preserve">Input / Condition</t>
  </si>
  <si>
    <t xml:space="preserve">Expected Result</t>
  </si>
  <si>
    <t xml:space="preserve">Current Result / Status</t>
  </si>
  <si>
    <t xml:space="preserve">TC-001</t>
  </si>
  <si>
    <t xml:space="preserve">Incompatible connectors are hidden</t>
  </si>
  <si>
    <t xml:space="preserve">Driver's vehicle uses Type 2; station has a CCS-only charger.</t>
  </si>
  <si>
    <t xml:space="preserve">The CCS-only charger is not offered to the driver; only compatible chargers are shown.</t>
  </si>
  <si>
    <t xml:space="preserve">Defect documented: BP-1</t>
  </si>
  <si>
    <t xml:space="preserve">TC-002</t>
  </si>
  <si>
    <t xml:space="preserve">No double booking of a socket</t>
  </si>
  <si>
    <t xml:space="preserve">Two drivers try to reserve the same socket for the same 30-minute window.</t>
  </si>
  <si>
    <t xml:space="preserve">The first reservation succeeds; the second is refused with a reason.</t>
  </si>
  <si>
    <t xml:space="preserve">Defect documented: BP-2</t>
  </si>
  <si>
    <t xml:space="preserve">TC-003</t>
  </si>
  <si>
    <t xml:space="preserve">Reservation confirmed after successful payment</t>
  </si>
  <si>
    <t xml:space="preserve">Driver confirms a reservation and the Payment Gateway authorizes payment.</t>
  </si>
  <si>
    <t xml:space="preserve">Reservation status becomes Confirmed and the socket is locked for the slot.</t>
  </si>
  <si>
    <t xml:space="preserve">Defect documented: BP-6</t>
  </si>
  <si>
    <t xml:space="preserve">TC-004</t>
  </si>
  <si>
    <t xml:space="preserve">Search results filtered by radius and sorted</t>
  </si>
  <si>
    <t xml:space="preserve">Driver searches with a selected radius and connector type.</t>
  </si>
  <si>
    <t xml:space="preserve">Only stations within the radius with at least one available compatible socket are listed, sorted by distance.</t>
  </si>
  <si>
    <t xml:space="preserve">Not yet executed</t>
  </si>
  <si>
    <t xml:space="preserve">TC-005</t>
  </si>
  <si>
    <t xml:space="preserve">Station with no compatible sockets excluded</t>
  </si>
  <si>
    <t xml:space="preserve">A station has zero available connector-compatible sockets.</t>
  </si>
  <si>
    <t xml:space="preserve">The station does not appear in the search results.</t>
  </si>
  <si>
    <t xml:space="preserve">Quoted rate matches confirmed rate</t>
  </si>
  <si>
    <t xml:space="preserve">Driver views the rate for a slot, then confirms the reservation for the same slot and timestamp.</t>
  </si>
  <si>
    <t xml:space="preserve">The rate shown at booking equals the rate applied at confirmation and stored on the reservation.</t>
  </si>
  <si>
    <t xml:space="preserve">Defect documented: BP-3</t>
  </si>
  <si>
    <t xml:space="preserve">TC-007</t>
  </si>
  <si>
    <t xml:space="preserve">Cancellation before cutoff releases socket</t>
  </si>
  <si>
    <t xml:space="preserve">Driver cancels a confirmed reservation more than 5 minutes before slot start.</t>
  </si>
  <si>
    <t xml:space="preserve">Reservation becomes Cancelled and the socket is released immediately.</t>
  </si>
  <si>
    <t xml:space="preserve">Defect documented: BP-4</t>
  </si>
  <si>
    <t xml:space="preserve">TC-008</t>
  </si>
  <si>
    <t xml:space="preserve">No penalty for cancellation before cutoff</t>
  </si>
  <si>
    <t xml:space="preserve">Driver cancels more than 5 minutes before slot start.</t>
  </si>
  <si>
    <t xml:space="preserve">No penalty is charged to the driver's account.</t>
  </si>
  <si>
    <t xml:space="preserve">TC-009</t>
  </si>
  <si>
    <t xml:space="preserve">Faulty charger not bookable</t>
  </si>
  <si>
    <t xml:space="preserve">Operator marks a charger as Faulty.</t>
  </si>
  <si>
    <t xml:space="preserve">Within 5 seconds the charger no longer appears as bookable in search or reservation.</t>
  </si>
  <si>
    <t xml:space="preserve">Defect documented: BP-5</t>
  </si>
  <si>
    <t xml:space="preserve">TC-010</t>
  </si>
  <si>
    <t xml:space="preserve">Under Maintenance charger cannot be reserved</t>
  </si>
  <si>
    <t xml:space="preserve">Operator marks a charger as Under Maintenance, then a driver attempts to reserve it.</t>
  </si>
  <si>
    <t xml:space="preserve">The reservation attempt is refused.</t>
  </si>
  <si>
    <t xml:space="preserve">TC-011</t>
  </si>
  <si>
    <t xml:space="preserve">No-show socket released at 10 minutes</t>
  </si>
  <si>
    <t xml:space="preserve">Driver does not plug in within 10 minutes of slot start.</t>
  </si>
  <si>
    <t xml:space="preserve">Socket is released and a no-show penalty is applied at the 10-minute mark.</t>
  </si>
  <si>
    <t xml:space="preserve">Defect documented: BP-7</t>
  </si>
  <si>
    <t xml:space="preserve">TC-012</t>
  </si>
  <si>
    <t xml:space="preserve">Socket not released early or held too long</t>
  </si>
  <si>
    <t xml:space="preserve">Driver plugs in before the 10-minute mark; separately, no plug-in occurs.</t>
  </si>
  <si>
    <t xml:space="preserve">Socket stays locked for a driver who plugs in on time and is not held beyond 10 minutes for a no-show.</t>
  </si>
  <si>
    <t xml:space="preserve">Peak-load reservation performance</t>
  </si>
  <si>
    <t xml:space="preserve">Load test with 500 concurrent simulated users making reservation requests.</t>
  </si>
  <si>
    <t xml:space="preserve">95th-percentile response time is under 2 seconds with zero dropped requests.</t>
  </si>
  <si>
    <t xml:space="preserve">TRACEABILITY SUMMARY</t>
  </si>
  <si>
    <t xml:space="preserve">Total Requirements</t>
  </si>
  <si>
    <t xml:space="preserve">Functional Requirements</t>
  </si>
  <si>
    <t xml:space="preserve">Non-Functional Requirements</t>
  </si>
  <si>
    <t xml:space="preserve">Requirements mapped to Use Cases</t>
  </si>
  <si>
    <t xml:space="preserve">Requirements mapped to Jira Stories</t>
  </si>
  <si>
    <t xml:space="preserve">Requirements mapped to Test Cases</t>
  </si>
  <si>
    <t xml:space="preserve">Total Test Cases</t>
  </si>
  <si>
    <t xml:space="preserve">Requirements linked to documented Defects</t>
  </si>
  <si>
    <t xml:space="preserve">Test Cases not yet executed</t>
  </si>
  <si>
    <t xml:space="preserve">Note</t>
  </si>
  <si>
    <t xml:space="preserve">Requirement text follows the lab requirements table (SE Lab 1.pdf). Jira and defect IDs follow the SRS (Section 4 and 3.5). Status is 'Defect Found' where a logged defect (BP-1 to BP-7) exists for the requirement; change to 'Verified' only after the test is actually executed and passes. UC-06 (Cancel Reservation) is proposed and not yet in the UML diagram. Test Case IDs are derived from each requirement's Pass/Fail acceptance criteria.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</si>
</sst>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libri"/>
      <family val="0"/>
      <charset val="1"/>
    </font>
    <font>
      <b val="true"/>
      <sz val="13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5"/>
      <name val="Calibri"/>
      <family val="0"/>
      <charset val="1"/>
    </font>
    <font>
      <b val="true"/>
      <sz val="14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2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34"/>
    <col collapsed="false" customWidth="true" hidden="false" outlineLevel="0" max="6" min="6" style="0" width="20"/>
    <col collapsed="false" customWidth="true" hidden="false" outlineLevel="0" max="7" min="7" style="0" width="28"/>
    <col collapsed="false" customWidth="true" hidden="false" outlineLevel="0" max="8" min="8" style="0" width="30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6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customFormat="false" ht="28.3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customFormat="false" ht="41.75" hidden="false" customHeight="false" outlineLevel="0" collapsed="false">
      <c r="A6" s="5" t="s">
        <v>14</v>
      </c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  <c r="G6" s="5" t="s">
        <v>20</v>
      </c>
      <c r="H6" s="5" t="s">
        <v>21</v>
      </c>
      <c r="I6" s="5" t="s">
        <v>22</v>
      </c>
      <c r="J6" s="5" t="s">
        <v>23</v>
      </c>
      <c r="K6" s="5" t="s">
        <v>24</v>
      </c>
    </row>
    <row r="7" customFormat="false" ht="41.75" hidden="false" customHeight="false" outlineLevel="0" collapsed="false">
      <c r="A7" s="5" t="s">
        <v>25</v>
      </c>
      <c r="B7" s="5" t="s">
        <v>26</v>
      </c>
      <c r="C7" s="5" t="s">
        <v>16</v>
      </c>
      <c r="D7" s="5" t="s">
        <v>17</v>
      </c>
      <c r="E7" s="5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5" t="s">
        <v>32</v>
      </c>
      <c r="K7" s="5" t="s">
        <v>24</v>
      </c>
    </row>
    <row r="8" customFormat="false" ht="41.75" hidden="false" customHeight="false" outlineLevel="0" collapsed="false">
      <c r="A8" s="5" t="s">
        <v>33</v>
      </c>
      <c r="B8" s="5" t="s">
        <v>34</v>
      </c>
      <c r="C8" s="5" t="s">
        <v>16</v>
      </c>
      <c r="D8" s="5" t="s">
        <v>35</v>
      </c>
      <c r="E8" s="5" t="s">
        <v>36</v>
      </c>
      <c r="F8" s="5" t="s">
        <v>37</v>
      </c>
      <c r="G8" s="5" t="s">
        <v>38</v>
      </c>
      <c r="H8" s="5" t="s">
        <v>39</v>
      </c>
      <c r="I8" s="5" t="s">
        <v>40</v>
      </c>
      <c r="J8" s="5" t="s">
        <v>41</v>
      </c>
      <c r="K8" s="5" t="s">
        <v>24</v>
      </c>
    </row>
    <row r="9" customFormat="false" ht="28.35" hidden="false" customHeight="false" outlineLevel="0" collapsed="false">
      <c r="A9" s="5" t="s">
        <v>42</v>
      </c>
      <c r="B9" s="5" t="s">
        <v>43</v>
      </c>
      <c r="C9" s="5" t="s">
        <v>16</v>
      </c>
      <c r="D9" s="5" t="s">
        <v>35</v>
      </c>
      <c r="E9" s="5" t="s">
        <v>44</v>
      </c>
      <c r="F9" s="5" t="s">
        <v>45</v>
      </c>
      <c r="G9" s="5" t="s">
        <v>46</v>
      </c>
      <c r="H9" s="5" t="s">
        <v>47</v>
      </c>
      <c r="I9" s="5" t="s">
        <v>48</v>
      </c>
      <c r="J9" s="5" t="s">
        <v>49</v>
      </c>
      <c r="K9" s="5" t="s">
        <v>24</v>
      </c>
    </row>
    <row r="10" customFormat="false" ht="55.2" hidden="false" customHeight="false" outlineLevel="0" collapsed="false">
      <c r="A10" s="5" t="s">
        <v>50</v>
      </c>
      <c r="B10" s="5" t="s">
        <v>51</v>
      </c>
      <c r="C10" s="5" t="s">
        <v>16</v>
      </c>
      <c r="D10" s="5" t="s">
        <v>17</v>
      </c>
      <c r="E10" s="5" t="s">
        <v>52</v>
      </c>
      <c r="F10" s="5" t="s">
        <v>53</v>
      </c>
      <c r="G10" s="5" t="s">
        <v>54</v>
      </c>
      <c r="H10" s="5" t="s">
        <v>55</v>
      </c>
      <c r="I10" s="5" t="s">
        <v>56</v>
      </c>
      <c r="J10" s="5" t="s">
        <v>57</v>
      </c>
      <c r="K10" s="5" t="s">
        <v>24</v>
      </c>
    </row>
    <row r="11" customFormat="false" ht="41.75" hidden="false" customHeight="false" outlineLevel="0" collapsed="false">
      <c r="A11" s="5" t="s">
        <v>58</v>
      </c>
      <c r="B11" s="5" t="s">
        <v>59</v>
      </c>
      <c r="C11" s="5" t="s">
        <v>60</v>
      </c>
      <c r="D11" s="5" t="s">
        <v>17</v>
      </c>
      <c r="E11" s="5" t="s">
        <v>61</v>
      </c>
      <c r="F11" s="5" t="s">
        <v>62</v>
      </c>
      <c r="G11" s="5" t="s">
        <v>63</v>
      </c>
      <c r="H11" s="5" t="s">
        <v>64</v>
      </c>
      <c r="I11" s="5" t="s">
        <v>65</v>
      </c>
      <c r="J11" s="5" t="s">
        <v>66</v>
      </c>
      <c r="K11" s="5" t="s">
        <v>24</v>
      </c>
    </row>
    <row r="12" customFormat="false" ht="28.35" hidden="false" customHeight="false" outlineLevel="0" collapsed="false">
      <c r="A12" s="5" t="s">
        <v>67</v>
      </c>
      <c r="B12" s="5" t="s">
        <v>68</v>
      </c>
      <c r="C12" s="5" t="s">
        <v>60</v>
      </c>
      <c r="D12" s="5" t="s">
        <v>35</v>
      </c>
      <c r="E12" s="5" t="s">
        <v>69</v>
      </c>
      <c r="F12" s="5" t="s">
        <v>70</v>
      </c>
      <c r="G12" s="5" t="s">
        <v>71</v>
      </c>
      <c r="H12" s="5" t="s">
        <v>72</v>
      </c>
      <c r="I12" s="5" t="s">
        <v>73</v>
      </c>
      <c r="J12" s="5" t="s">
        <v>74</v>
      </c>
      <c r="K12" s="5" t="s">
        <v>75</v>
      </c>
    </row>
  </sheetData>
  <mergeCells count="3">
    <mergeCell ref="A1:K1"/>
    <mergeCell ref="A2:K2"/>
    <mergeCell ref="A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50"/>
    <col collapsed="false" customWidth="true" hidden="false" outlineLevel="0" max="5" min="5" style="0" width="58"/>
    <col collapsed="false" customWidth="true" hidden="false" outlineLevel="0" max="6" min="6" style="0" width="28"/>
  </cols>
  <sheetData>
    <row r="1" customFormat="false" ht="18.55" hidden="false" customHeight="false" outlineLevel="0" collapsed="false">
      <c r="A1" s="6" t="s">
        <v>76</v>
      </c>
      <c r="B1" s="6"/>
      <c r="C1" s="6"/>
      <c r="D1" s="6"/>
      <c r="E1" s="6"/>
      <c r="F1" s="6"/>
    </row>
    <row r="3" customFormat="false" ht="15" hidden="false" customHeight="false" outlineLevel="0" collapsed="false">
      <c r="A3" s="4" t="s">
        <v>11</v>
      </c>
      <c r="B3" s="4" t="s">
        <v>3</v>
      </c>
      <c r="C3" s="4" t="s">
        <v>77</v>
      </c>
      <c r="D3" s="4" t="s">
        <v>78</v>
      </c>
      <c r="E3" s="4" t="s">
        <v>79</v>
      </c>
      <c r="F3" s="4" t="s">
        <v>80</v>
      </c>
    </row>
    <row r="4" customFormat="false" ht="28.35" hidden="false" customHeight="false" outlineLevel="0" collapsed="false">
      <c r="A4" s="5" t="s">
        <v>81</v>
      </c>
      <c r="B4" s="5" t="s">
        <v>14</v>
      </c>
      <c r="C4" s="5" t="s">
        <v>82</v>
      </c>
      <c r="D4" s="5" t="s">
        <v>83</v>
      </c>
      <c r="E4" s="5" t="s">
        <v>84</v>
      </c>
      <c r="F4" s="5" t="s">
        <v>85</v>
      </c>
    </row>
    <row r="5" customFormat="false" ht="28.35" hidden="false" customHeight="false" outlineLevel="0" collapsed="false">
      <c r="A5" s="5" t="s">
        <v>86</v>
      </c>
      <c r="B5" s="5" t="s">
        <v>14</v>
      </c>
      <c r="C5" s="5" t="s">
        <v>87</v>
      </c>
      <c r="D5" s="5" t="s">
        <v>88</v>
      </c>
      <c r="E5" s="5" t="s">
        <v>89</v>
      </c>
      <c r="F5" s="5" t="s">
        <v>90</v>
      </c>
    </row>
    <row r="6" customFormat="false" ht="28.35" hidden="false" customHeight="false" outlineLevel="0" collapsed="false">
      <c r="A6" s="5" t="s">
        <v>91</v>
      </c>
      <c r="B6" s="5" t="s">
        <v>14</v>
      </c>
      <c r="C6" s="5" t="s">
        <v>92</v>
      </c>
      <c r="D6" s="5" t="s">
        <v>93</v>
      </c>
      <c r="E6" s="5" t="s">
        <v>94</v>
      </c>
      <c r="F6" s="5" t="s">
        <v>95</v>
      </c>
    </row>
    <row r="7" customFormat="false" ht="28.35" hidden="false" customHeight="false" outlineLevel="0" collapsed="false">
      <c r="A7" s="5" t="s">
        <v>96</v>
      </c>
      <c r="B7" s="5" t="s">
        <v>25</v>
      </c>
      <c r="C7" s="5" t="s">
        <v>97</v>
      </c>
      <c r="D7" s="5" t="s">
        <v>98</v>
      </c>
      <c r="E7" s="5" t="s">
        <v>99</v>
      </c>
      <c r="F7" s="5" t="s">
        <v>100</v>
      </c>
    </row>
    <row r="8" customFormat="false" ht="28.35" hidden="false" customHeight="false" outlineLevel="0" collapsed="false">
      <c r="A8" s="5" t="s">
        <v>101</v>
      </c>
      <c r="B8" s="5" t="s">
        <v>25</v>
      </c>
      <c r="C8" s="5" t="s">
        <v>102</v>
      </c>
      <c r="D8" s="5" t="s">
        <v>103</v>
      </c>
      <c r="E8" s="5" t="s">
        <v>104</v>
      </c>
      <c r="F8" s="5" t="s">
        <v>85</v>
      </c>
    </row>
    <row r="9" customFormat="false" ht="28.35" hidden="false" customHeight="false" outlineLevel="0" collapsed="false">
      <c r="A9" s="5" t="s">
        <v>40</v>
      </c>
      <c r="B9" s="5" t="s">
        <v>33</v>
      </c>
      <c r="C9" s="5" t="s">
        <v>105</v>
      </c>
      <c r="D9" s="5" t="s">
        <v>106</v>
      </c>
      <c r="E9" s="5" t="s">
        <v>107</v>
      </c>
      <c r="F9" s="5" t="s">
        <v>108</v>
      </c>
    </row>
    <row r="10" customFormat="false" ht="28.35" hidden="false" customHeight="false" outlineLevel="0" collapsed="false">
      <c r="A10" s="5" t="s">
        <v>109</v>
      </c>
      <c r="B10" s="5" t="s">
        <v>42</v>
      </c>
      <c r="C10" s="5" t="s">
        <v>110</v>
      </c>
      <c r="D10" s="5" t="s">
        <v>111</v>
      </c>
      <c r="E10" s="5" t="s">
        <v>112</v>
      </c>
      <c r="F10" s="5" t="s">
        <v>113</v>
      </c>
    </row>
    <row r="11" customFormat="false" ht="15" hidden="false" customHeight="false" outlineLevel="0" collapsed="false">
      <c r="A11" s="5" t="s">
        <v>114</v>
      </c>
      <c r="B11" s="5" t="s">
        <v>42</v>
      </c>
      <c r="C11" s="5" t="s">
        <v>115</v>
      </c>
      <c r="D11" s="5" t="s">
        <v>116</v>
      </c>
      <c r="E11" s="5" t="s">
        <v>117</v>
      </c>
      <c r="F11" s="5" t="s">
        <v>100</v>
      </c>
    </row>
    <row r="12" customFormat="false" ht="28.35" hidden="false" customHeight="false" outlineLevel="0" collapsed="false">
      <c r="A12" s="5" t="s">
        <v>118</v>
      </c>
      <c r="B12" s="5" t="s">
        <v>50</v>
      </c>
      <c r="C12" s="5" t="s">
        <v>119</v>
      </c>
      <c r="D12" s="5" t="s">
        <v>120</v>
      </c>
      <c r="E12" s="5" t="s">
        <v>121</v>
      </c>
      <c r="F12" s="5" t="s">
        <v>122</v>
      </c>
    </row>
    <row r="13" customFormat="false" ht="28.35" hidden="false" customHeight="false" outlineLevel="0" collapsed="false">
      <c r="A13" s="5" t="s">
        <v>123</v>
      </c>
      <c r="B13" s="5" t="s">
        <v>50</v>
      </c>
      <c r="C13" s="5" t="s">
        <v>124</v>
      </c>
      <c r="D13" s="5" t="s">
        <v>125</v>
      </c>
      <c r="E13" s="5" t="s">
        <v>126</v>
      </c>
      <c r="F13" s="5" t="s">
        <v>122</v>
      </c>
    </row>
    <row r="14" customFormat="false" ht="28.35" hidden="false" customHeight="false" outlineLevel="0" collapsed="false">
      <c r="A14" s="5" t="s">
        <v>127</v>
      </c>
      <c r="B14" s="5" t="s">
        <v>58</v>
      </c>
      <c r="C14" s="5" t="s">
        <v>128</v>
      </c>
      <c r="D14" s="5" t="s">
        <v>129</v>
      </c>
      <c r="E14" s="5" t="s">
        <v>130</v>
      </c>
      <c r="F14" s="5" t="s">
        <v>131</v>
      </c>
    </row>
    <row r="15" customFormat="false" ht="28.35" hidden="false" customHeight="false" outlineLevel="0" collapsed="false">
      <c r="A15" s="5" t="s">
        <v>132</v>
      </c>
      <c r="B15" s="5" t="s">
        <v>58</v>
      </c>
      <c r="C15" s="5" t="s">
        <v>133</v>
      </c>
      <c r="D15" s="5" t="s">
        <v>134</v>
      </c>
      <c r="E15" s="5" t="s">
        <v>135</v>
      </c>
      <c r="F15" s="5" t="s">
        <v>131</v>
      </c>
    </row>
    <row r="16" customFormat="false" ht="28.35" hidden="false" customHeight="false" outlineLevel="0" collapsed="false">
      <c r="A16" s="5" t="s">
        <v>73</v>
      </c>
      <c r="B16" s="5" t="s">
        <v>67</v>
      </c>
      <c r="C16" s="5" t="s">
        <v>136</v>
      </c>
      <c r="D16" s="5" t="s">
        <v>137</v>
      </c>
      <c r="E16" s="5" t="s">
        <v>138</v>
      </c>
      <c r="F16" s="5" t="s">
        <v>100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7" t="s">
        <v>139</v>
      </c>
    </row>
    <row r="3" customFormat="false" ht="15" hidden="false" customHeight="false" outlineLevel="0" collapsed="false">
      <c r="A3" s="8" t="s">
        <v>140</v>
      </c>
      <c r="B3" s="9" t="n">
        <f aca="false">COUNTA(RTM!A6:A12)</f>
        <v>7</v>
      </c>
    </row>
    <row r="4" customFormat="false" ht="15" hidden="false" customHeight="false" outlineLevel="0" collapsed="false">
      <c r="A4" s="8" t="s">
        <v>141</v>
      </c>
      <c r="B4" s="9" t="n">
        <f aca="false">COUNTIF(RTM!C6:C12,"Functional")</f>
        <v>5</v>
      </c>
    </row>
    <row r="5" customFormat="false" ht="15" hidden="false" customHeight="false" outlineLevel="0" collapsed="false">
      <c r="A5" s="8" t="s">
        <v>142</v>
      </c>
      <c r="B5" s="9" t="n">
        <f aca="false">COUNTIF(RTM!C6:C12,"Non-Functional")</f>
        <v>2</v>
      </c>
    </row>
    <row r="6" customFormat="false" ht="15" hidden="false" customHeight="false" outlineLevel="0" collapsed="false">
      <c r="A6" s="8" t="s">
        <v>143</v>
      </c>
      <c r="B6" s="9" t="n">
        <f aca="false">COUNTA(RTM!E6:E12)</f>
        <v>7</v>
      </c>
    </row>
    <row r="7" customFormat="false" ht="15" hidden="false" customHeight="false" outlineLevel="0" collapsed="false">
      <c r="A7" s="8" t="s">
        <v>144</v>
      </c>
      <c r="B7" s="9" t="n">
        <f aca="false">COUNTA(RTM!F6:F12)</f>
        <v>7</v>
      </c>
    </row>
    <row r="8" customFormat="false" ht="15" hidden="false" customHeight="false" outlineLevel="0" collapsed="false">
      <c r="A8" s="8" t="s">
        <v>145</v>
      </c>
      <c r="B8" s="9" t="n">
        <f aca="false">COUNTA(RTM!I6:I12)</f>
        <v>7</v>
      </c>
    </row>
    <row r="9" customFormat="false" ht="15" hidden="false" customHeight="false" outlineLevel="0" collapsed="false">
      <c r="A9" s="8" t="s">
        <v>146</v>
      </c>
      <c r="B9" s="9" t="n">
        <f aca="false">COUNTA('Test Cases'!A4:A16)</f>
        <v>13</v>
      </c>
    </row>
    <row r="10" customFormat="false" ht="15" hidden="false" customHeight="false" outlineLevel="0" collapsed="false">
      <c r="A10" s="8" t="s">
        <v>147</v>
      </c>
      <c r="B10" s="9" t="n">
        <f aca="false">COUNTIF(RTM!J6:J12,"BP-*")</f>
        <v>6</v>
      </c>
    </row>
    <row r="11" customFormat="false" ht="15" hidden="false" customHeight="false" outlineLevel="0" collapsed="false">
      <c r="A11" s="8" t="s">
        <v>148</v>
      </c>
      <c r="B11" s="9" t="n">
        <f aca="false">COUNTIF('Test Cases'!F4:F16,"Not yet executed")</f>
        <v>3</v>
      </c>
    </row>
    <row r="13" customFormat="false" ht="79.5" hidden="false" customHeight="true" outlineLevel="0" collapsed="false">
      <c r="A13" s="8" t="s">
        <v>149</v>
      </c>
      <c r="B13" s="10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2026-10-02T13:10:07Z</dcterms:created>
  <dc:creator>openpyxl</dc:creator>
  <dc:description/>
  <dc:language>en-US</dc:language>
  <cp:lastModifiedBy/>
  <dcterms:modified xsi:type="dcterms:W3CDTF">2026-10-02T13:10:07Z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